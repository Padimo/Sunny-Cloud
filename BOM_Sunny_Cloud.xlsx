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darsh/Documents/Coding/HackClub/Sunny-Cloud/"/>
    </mc:Choice>
  </mc:AlternateContent>
  <xr:revisionPtr revIDLastSave="0" documentId="13_ncr:1_{406A24C8-CBA1-B04B-894C-3C0BFC7FF73C}" xr6:coauthVersionLast="47" xr6:coauthVersionMax="47" xr10:uidLastSave="{00000000-0000-0000-0000-000000000000}"/>
  <bookViews>
    <workbookView xWindow="0" yWindow="620" windowWidth="20480" windowHeight="24980" xr2:uid="{26AE6B7A-978C-FC4D-AC2C-C43DF63327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5" i="1"/>
  <c r="D4" i="1"/>
  <c r="D3" i="1"/>
  <c r="D2" i="1"/>
  <c r="D12" i="1" l="1"/>
</calcChain>
</file>

<file path=xl/sharedStrings.xml><?xml version="1.0" encoding="utf-8"?>
<sst xmlns="http://schemas.openxmlformats.org/spreadsheetml/2006/main" count="52" uniqueCount="36">
  <si>
    <t>PCB</t>
  </si>
  <si>
    <t>Component</t>
  </si>
  <si>
    <t>Quantity</t>
  </si>
  <si>
    <t>Price</t>
  </si>
  <si>
    <t>Total price</t>
  </si>
  <si>
    <t>Vendor</t>
  </si>
  <si>
    <t>Link</t>
  </si>
  <si>
    <t>Notes</t>
  </si>
  <si>
    <t>In cart?</t>
  </si>
  <si>
    <t>Vender cost with shipping</t>
  </si>
  <si>
    <t>JLCPCB</t>
  </si>
  <si>
    <t>https://cart.jlcpcb.com/quote</t>
  </si>
  <si>
    <t>Upload Gerbers</t>
  </si>
  <si>
    <t>Yes</t>
  </si>
  <si>
    <t>ESP32S3 WROOM 1 N4</t>
  </si>
  <si>
    <t>Digikey</t>
  </si>
  <si>
    <t>https://www.digikey.com/en/products/detail/espressif-systems/esp32-s3-wroom-1-n4/16162639</t>
  </si>
  <si>
    <t>add shipping</t>
  </si>
  <si>
    <t>USBC Receptacle</t>
  </si>
  <si>
    <t>https://www.digikey.com/en/products/detail/gct/USB4085-GF-A/9859662?s=N4IgTCBcDaIOIGEAqACAqgZQEIBYAMAHAKwgC6AvkA</t>
  </si>
  <si>
    <t>AP2112K 3.3V regulator</t>
  </si>
  <si>
    <t>https://www.digikey.com/en/products/detail/diodes-incorporated/ap2112k-3-3trg1/4470746</t>
  </si>
  <si>
    <t>Amazon</t>
  </si>
  <si>
    <t>WS2812B LED Strip</t>
  </si>
  <si>
    <t>Push buttons</t>
  </si>
  <si>
    <t>https://www.digikey.com/en/products/detail/cui-devices/TS04-66-50-BK-160-SMT/15634240</t>
  </si>
  <si>
    <t>0805 capacitors</t>
  </si>
  <si>
    <t>Myself</t>
  </si>
  <si>
    <t>0805 resistors</t>
  </si>
  <si>
    <t>3D Print</t>
  </si>
  <si>
    <t>Heat inserts</t>
  </si>
  <si>
    <t>https://www.amazon.com/HANGLIFE-Heat-Set-Threaded-Printing-Components/dp/B0CS6VZYL8/</t>
  </si>
  <si>
    <t>TOTAL</t>
  </si>
  <si>
    <t xml:space="preserve">Note: Price = 0 means that I already have parts and the cost should not be considered for Blueprint. </t>
  </si>
  <si>
    <t>https://keebd.com/en-us/products/ws2812b-rgb-led</t>
  </si>
  <si>
    <t>Keebd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</si>
</sst>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espressif-systems/esp32-s3-wroom-1-n4/16162639" TargetMode="External"/><Relationship Id="rId1" Type="http://schemas.openxmlformats.org/officeDocument/2006/relationships/hyperlink" Target="https://cart.jlcpcb.com/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5CC1-2C55-6D47-8C63-39253EAC5969}">
  <dimension ref="A1:I20"/>
  <sheetViews>
    <sheetView tabSelected="1" workbookViewId="0">
      <selection activeCell="I6" sqref="I6"/>
    </sheetView>
  </sheetViews>
  <sheetFormatPr baseColWidth="10" defaultRowHeight="16" x14ac:dyDescent="0.2"/>
  <sheetData>
    <row r="1" spans="1:9" x14ac:dyDescent="0.2">
      <c r="A1" t="s">
        <v>1</v>
      </c>
      <c r="B1" t="s">
        <v>2</v>
      </c>
      <c r="C1" s="1" t="s">
        <v>3</v>
      </c>
      <c r="D1" s="1" t="s">
        <v>4</v>
      </c>
      <c r="E1" t="s">
        <v>5</v>
      </c>
      <c r="F1" t="s">
        <v>6</v>
      </c>
      <c r="G1" t="s">
        <v>7</v>
      </c>
      <c r="H1" t="s">
        <v>8</v>
      </c>
      <c r="I1" s="1" t="s">
        <v>9</v>
      </c>
    </row>
    <row r="2" spans="1:9" x14ac:dyDescent="0.2">
      <c r="A2" t="s">
        <v>0</v>
      </c>
      <c r="B2">
        <v>1</v>
      </c>
      <c r="C2" s="1"/>
      <c r="D2" s="1">
        <f>B2*C2</f>
        <v>0</v>
      </c>
      <c r="E2" t="s">
        <v>10</v>
      </c>
      <c r="F2" s="2" t="s">
        <v>11</v>
      </c>
      <c r="G2" t="s">
        <v>12</v>
      </c>
      <c r="H2" t="s">
        <v>13</v>
      </c>
      <c r="I2" s="1">
        <v>0</v>
      </c>
    </row>
    <row r="3" spans="1:9" x14ac:dyDescent="0.2">
      <c r="A3" t="s">
        <v>14</v>
      </c>
      <c r="B3">
        <v>5</v>
      </c>
      <c r="C3" s="1">
        <v>5.0599999999999996</v>
      </c>
      <c r="D3" s="1">
        <f t="shared" ref="D3:D4" si="0">B3*C3</f>
        <v>25.299999999999997</v>
      </c>
      <c r="E3" t="s">
        <v>15</v>
      </c>
      <c r="F3" s="2" t="s">
        <v>16</v>
      </c>
      <c r="G3" t="s">
        <v>17</v>
      </c>
      <c r="H3" t="s">
        <v>13</v>
      </c>
      <c r="I3" s="1">
        <v>0</v>
      </c>
    </row>
    <row r="4" spans="1:9" x14ac:dyDescent="0.2">
      <c r="A4" t="s">
        <v>18</v>
      </c>
      <c r="B4">
        <v>5</v>
      </c>
      <c r="C4" s="1">
        <v>0.88</v>
      </c>
      <c r="D4" s="1">
        <f t="shared" si="0"/>
        <v>4.4000000000000004</v>
      </c>
      <c r="E4" t="s">
        <v>15</v>
      </c>
      <c r="F4" t="s">
        <v>19</v>
      </c>
      <c r="G4" t="s">
        <v>17</v>
      </c>
      <c r="H4" t="s">
        <v>13</v>
      </c>
      <c r="I4" s="1">
        <v>0</v>
      </c>
    </row>
    <row r="5" spans="1:9" x14ac:dyDescent="0.2">
      <c r="A5" t="s">
        <v>20</v>
      </c>
      <c r="B5">
        <v>5</v>
      </c>
      <c r="C5" s="1">
        <v>0.22</v>
      </c>
      <c r="D5" s="1">
        <f>B5*C5</f>
        <v>1.1000000000000001</v>
      </c>
      <c r="E5" t="s">
        <v>15</v>
      </c>
      <c r="F5" t="s">
        <v>21</v>
      </c>
      <c r="G5" t="s">
        <v>17</v>
      </c>
      <c r="H5" t="s">
        <v>13</v>
      </c>
      <c r="I5" s="1">
        <v>0</v>
      </c>
    </row>
    <row r="6" spans="1:9" x14ac:dyDescent="0.2">
      <c r="A6" t="s">
        <v>23</v>
      </c>
      <c r="B6">
        <v>90</v>
      </c>
      <c r="C6" s="1">
        <v>3</v>
      </c>
      <c r="D6" s="1">
        <v>27</v>
      </c>
      <c r="E6" t="s">
        <v>35</v>
      </c>
      <c r="F6" t="s">
        <v>34</v>
      </c>
      <c r="G6" t="s">
        <v>17</v>
      </c>
      <c r="H6" t="s">
        <v>13</v>
      </c>
      <c r="I6" s="1">
        <v>0</v>
      </c>
    </row>
    <row r="7" spans="1:9" x14ac:dyDescent="0.2">
      <c r="A7" t="s">
        <v>24</v>
      </c>
      <c r="B7">
        <v>10</v>
      </c>
      <c r="C7" s="1">
        <v>0.18</v>
      </c>
      <c r="D7" s="1">
        <f>B7*C7</f>
        <v>1.7999999999999998</v>
      </c>
      <c r="E7" t="s">
        <v>15</v>
      </c>
      <c r="F7" t="s">
        <v>25</v>
      </c>
      <c r="G7" t="s">
        <v>17</v>
      </c>
      <c r="H7" t="s">
        <v>13</v>
      </c>
      <c r="I7" s="1">
        <v>0</v>
      </c>
    </row>
    <row r="8" spans="1:9" x14ac:dyDescent="0.2">
      <c r="A8" t="s">
        <v>26</v>
      </c>
      <c r="B8">
        <v>5</v>
      </c>
      <c r="C8" s="1">
        <v>0</v>
      </c>
      <c r="D8" s="1">
        <f>B8*C8</f>
        <v>0</v>
      </c>
      <c r="E8" t="s">
        <v>27</v>
      </c>
      <c r="I8" s="1">
        <v>0</v>
      </c>
    </row>
    <row r="9" spans="1:9" x14ac:dyDescent="0.2">
      <c r="A9" t="s">
        <v>28</v>
      </c>
      <c r="B9">
        <v>10</v>
      </c>
      <c r="C9" s="1">
        <v>0</v>
      </c>
      <c r="D9" s="1">
        <f>B9*C9</f>
        <v>0</v>
      </c>
      <c r="E9" t="s">
        <v>27</v>
      </c>
      <c r="I9" s="1">
        <v>0</v>
      </c>
    </row>
    <row r="10" spans="1:9" x14ac:dyDescent="0.2">
      <c r="A10" t="s">
        <v>29</v>
      </c>
      <c r="B10">
        <v>5</v>
      </c>
      <c r="C10" s="1">
        <v>0</v>
      </c>
      <c r="D10" s="1">
        <f>B10*C10</f>
        <v>0</v>
      </c>
      <c r="E10" t="s">
        <v>27</v>
      </c>
      <c r="I10" s="1">
        <v>0</v>
      </c>
    </row>
    <row r="11" spans="1:9" x14ac:dyDescent="0.2">
      <c r="A11" t="s">
        <v>30</v>
      </c>
      <c r="B11">
        <v>35</v>
      </c>
      <c r="C11" s="1">
        <v>8.99</v>
      </c>
      <c r="D11" s="1">
        <f>C11</f>
        <v>8.99</v>
      </c>
      <c r="E11" t="s">
        <v>22</v>
      </c>
      <c r="F11" t="s">
        <v>31</v>
      </c>
      <c r="G11" t="s">
        <v>17</v>
      </c>
      <c r="H11" t="s">
        <v>13</v>
      </c>
      <c r="I11" s="1">
        <v>0</v>
      </c>
    </row>
    <row r="12" spans="1:9" x14ac:dyDescent="0.2">
      <c r="A12" s="3" t="s">
        <v>32</v>
      </c>
      <c r="C12" s="1"/>
      <c r="D12" s="1">
        <f>SUM(D2:D11)</f>
        <v>68.589999999999989</v>
      </c>
      <c r="I12" s="1">
        <v>0</v>
      </c>
    </row>
    <row r="14" spans="1:9" x14ac:dyDescent="0.2">
      <c r="A14" t="s">
        <v>33</v>
      </c>
    </row>
    <row r="19" spans="3:9" x14ac:dyDescent="0.2">
      <c r="C19" s="1"/>
      <c r="D19" s="1"/>
      <c r="I19" s="1"/>
    </row>
    <row r="20" spans="3:9" x14ac:dyDescent="0.2">
      <c r="C20" s="1"/>
      <c r="D20" s="1"/>
      <c r="I20" s="1"/>
    </row>
  </sheetData>
  <hyperlinks>
    <hyperlink ref="F2" r:id="rId1" xr:uid="{0C196D0F-C8D9-DF4D-A0D6-810565694084}"/>
    <hyperlink ref="F3" r:id="rId2" xr:uid="{F1266F7C-7CB5-2149-92C8-888F899CF831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Shah</dc:creator>
  <cp:lastModifiedBy>Aadarsh Shah</cp:lastModifiedBy>
  <dcterms:created xsi:type="dcterms:W3CDTF">2025-12-18T15:27:39Z</dcterms:created>
  <dcterms:modified xsi:type="dcterms:W3CDTF">2025-12-18T15:41:13Z</dcterms:modified>
</cp:coreProperties>
</file>